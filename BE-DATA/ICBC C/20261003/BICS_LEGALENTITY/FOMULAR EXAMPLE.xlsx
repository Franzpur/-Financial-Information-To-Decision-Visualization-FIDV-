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08BEF6A4-2037-4FA4-9044-96D708C42C0E}" xr6:coauthVersionLast="47" xr6:coauthVersionMax="47" xr10:uidLastSave="{00000000-0000-0000-0000-000000000000}"/>
  <bookViews>
    <workbookView xWindow="2940" yWindow="2940" windowWidth="35145" windowHeight="176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 a="1"/>
  <c r="G2" i="1" a="1"/>
  <c r="I2" i="1" a="1"/>
  <c r="I2" i="1" l="1"/>
  <c r="G2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<sst xmlns="http://schemas.openxmlformats.org/spreadsheetml/2006/main" count="14" uniqueCount="14">
  <si>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Primary Classification_Technology</t>
    <phoneticPr fontId="2" type="noConversion"/>
  </si>
  <si>
    <t>Member Companies</t>
  </si>
  <si>
    <t>Member Ticker</t>
  </si>
  <si>
    <t>Mkt Cap</t>
  </si>
  <si>
    <t>Ind Rev</t>
  </si>
  <si>
    <t>% Tot Rev</t>
  </si>
  <si>
    <t>Level2</t>
    <phoneticPr fontId="2" type="noConversion"/>
  </si>
  <si>
    <t>%Tot Rev l2</t>
    <phoneticPr fontId="2" type="noConversion"/>
  </si>
  <si>
    <t>Level3</t>
  </si>
  <si>
    <t>%Tot Rev l3</t>
  </si>
  <si>
    <t>Level4</t>
  </si>
  <si>
    <t>%Tot Rev l4</t>
  </si>
  <si>
    <t>MICROSOFT CORP</t>
  </si>
  <si>
    <t>MSFT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</si>
</sst>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5">
    <font>
      <sz val="11"/>
      <color theme="1"/>
      <name val="等线"/>
      <family val="2"/>
      <scheme val="minor"/>
    </font>
    <font>
      <b/>
      <sz val="11"/>
      <color indexed="9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Microsoft JhengHei"/>
      <family val="2"/>
      <charset val="136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/>
    <xf numFmtId="176" fontId="4" fillId="0" borderId="0"/>
    <xf numFmtId="177" fontId="4" fillId="0" borderId="0"/>
  </cellStyleXfs>
  <cellXfs count="5">
    <xf numFmtId="0" fontId="0" fillId="0" borderId="0" xfId="0"/>
    <xf numFmtId="0" fontId="1" fillId="2" borderId="0" xfId="1"/>
    <xf numFmtId="0" fontId="3" fillId="0" borderId="0" xfId="0" applyFont="1"/>
    <xf numFmtId="176" fontId="4" fillId="0" borderId="0" xfId="2"/>
    <xf numFmtId="177" fontId="4" fillId="0" borderId="0" xfId="3"/>
  </cellXfs>
  <cellStyles count="4">
    <cellStyle name="blp_amount" xfId="2" xr:uid="{F3E59CCC-116B-4FDC-92C7-1E26833A9137}"/>
    <cellStyle name="blp_column_header" xfId="1" xr:uid="{63B34620-378D-4AEF-B21E-9E96801A1018}"/>
    <cellStyle name="blp_percent" xfId="3" xr:uid="{DFE22EF4-B2CD-49A3-BA82-94E9E45F28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BQL|16488354053619492953</stp>
        <tr r="K2" s="1"/>
      </tp>
    </main>
    <main first="bofaddin.rtdserver">
      <tp t="s">
        <v>#N/A N/A</v>
        <stp/>
        <stp>BQL|9942523369206047093</stp>
        <tr r="I2" s="1"/>
      </tp>
      <tp t="s">
        <v>#N/A N/A</v>
        <stp/>
        <stp>BQL|2715498712913739645</stp>
        <tr r="G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5" sqref="E5"/>
    </sheetView>
  </sheetViews>
  <sheetFormatPr defaultRowHeight="14.25"/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>
      <c r="B2" t="s">
        <v>12</v>
      </c>
      <c r="C2" t="s">
        <v>13</v>
      </c>
      <c r="D2" s="3">
        <v>3697400000000</v>
      </c>
      <c r="E2" s="3">
        <v>331839000000</v>
      </c>
      <c r="F2" s="4">
        <v>100</v>
      </c>
      <c r="G2" t="str" cm="1">
        <f t="array" ref="G2">_xll.BQL("['"&amp;C2&amp;"']", "bics_level_2_industry_group_name()")</f>
        <v>Software &amp; Tech Services</v>
      </c>
      <c r="I2" t="str" cm="1">
        <f t="array" ref="I2">_xll.BQL("['"&amp;C2&amp;"']", "bics_level_3_industry_name()")</f>
        <v>Software</v>
      </c>
      <c r="K2" t="str" cm="1">
        <f t="array" ref="K2">_xll.BQL("['"&amp;C2&amp;"']", "bics_level_4_sub_industry_name()")</f>
        <v>Infrastructure Software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EconUser</dc:creator>
  <cp:lastModifiedBy>ZHANG, Boran</cp:lastModifiedBy>
  <dcterms:created xsi:type="dcterms:W3CDTF">2015-06-05T18:17:20Z</dcterms:created>
  <dcterms:modified xsi:type="dcterms:W3CDTF">2026-10-03T08:18:55Z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